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07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nguyenkvi/Desktop/comp412/lab3/"/>
    </mc:Choice>
  </mc:AlternateContent>
  <bookViews>
    <workbookView xWindow="0" yWindow="480" windowWidth="25600" windowHeight="14440" tabRatio="500"/>
  </bookViews>
  <sheets>
    <sheet name="Table1" sheetId="1" r:id="rId1"/>
    <sheet name="Table2" sheetId="2" r:id="rId2"/>
  </sheets>
  <definedNames>
    <definedName name="_xlnm.Print_Area" localSheetId="0">Table1!$A$2:$J$18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6" i="1" l="1"/>
  <c r="H15" i="1"/>
  <c r="H14" i="1"/>
  <c r="H13" i="1"/>
  <c r="H12" i="1"/>
  <c r="H11" i="1"/>
  <c r="H10" i="1"/>
  <c r="H9" i="1"/>
  <c r="H8" i="1"/>
  <c r="H7" i="1"/>
  <c r="H6" i="1"/>
  <c r="H5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<sst xmlns="http://schemas.openxmlformats.org/spreadsheetml/2006/main" count="47" uniqueCount="36">
  <si>
    <t>Input</t>
  </si>
  <si>
    <t>report1.i</t>
  </si>
  <si>
    <t>report6.i</t>
  </si>
  <si>
    <t>report5.i</t>
  </si>
  <si>
    <t>Block</t>
  </si>
  <si>
    <t>Difference</t>
  </si>
  <si>
    <t>* The simulator runs used to generate the results shown in this table ran without errors and produced correct output.</t>
  </si>
  <si>
    <t>report2.i</t>
  </si>
  <si>
    <t>report3.i</t>
  </si>
  <si>
    <t>report4.i</t>
  </si>
  <si>
    <t>Table 2:  Allocator Timing Results (k = 15)</t>
  </si>
  <si>
    <t>Input (lines)</t>
  </si>
  <si>
    <t>Allocation time (seconds)</t>
  </si>
  <si>
    <t>lab3_ref</t>
  </si>
  <si>
    <t>schedule</t>
  </si>
  <si>
    <t>Table 1:  Total Cycles Required for Lab 3 Report Blocks &amp; Submitted Block *</t>
  </si>
  <si>
    <t>(cycles)</t>
  </si>
  <si>
    <t>(percent)</t>
  </si>
  <si>
    <t>report7.i</t>
  </si>
  <si>
    <t>report8.1</t>
  </si>
  <si>
    <t>report9.i</t>
  </si>
  <si>
    <t>report10.i</t>
  </si>
  <si>
    <t>report11.i</t>
  </si>
  <si>
    <t>report12.i</t>
  </si>
  <si>
    <t>your block</t>
  </si>
  <si>
    <t>report14.i</t>
  </si>
  <si>
    <t>report15.i</t>
  </si>
  <si>
    <t>report16.i</t>
  </si>
  <si>
    <t>report17.i</t>
  </si>
  <si>
    <t>report18.i</t>
  </si>
  <si>
    <t>report19.i</t>
  </si>
  <si>
    <t>report20.i</t>
  </si>
  <si>
    <t>report21.i</t>
  </si>
  <si>
    <t>report22.i</t>
  </si>
  <si>
    <t>report23.i</t>
  </si>
  <si>
    <t>report13.i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</si>
</sst>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/>
      <right/>
      <top/>
      <bottom style="thick">
        <color theme="0" tint="-0.34998626667073579"/>
      </bottom>
      <diagonal/>
    </border>
    <border>
      <left/>
      <right/>
      <top style="thick">
        <color theme="0" tint="-0.34998626667073579"/>
      </top>
      <bottom/>
      <diagonal/>
    </border>
    <border>
      <left/>
      <right style="thick">
        <color theme="0" tint="-0.34998626667073579"/>
      </right>
      <top style="thick">
        <color theme="0" tint="-0.34998626667073579"/>
      </top>
      <bottom/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/>
      <top style="thick">
        <color theme="0" tint="-0.34998626667073579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/>
      <diagonal/>
    </border>
    <border>
      <left style="thick">
        <color theme="0" tint="-0.34998626667073579"/>
      </left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5" fillId="0" borderId="0" xfId="0" applyFont="1" applyAlignment="1"/>
    <xf numFmtId="0" fontId="7" fillId="0" borderId="6" xfId="0" applyFont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8" fillId="3" borderId="30" xfId="0" applyFont="1" applyFill="1" applyBorder="1"/>
    <xf numFmtId="9" fontId="0" fillId="0" borderId="21" xfId="0" applyNumberFormat="1" applyBorder="1"/>
    <xf numFmtId="9" fontId="0" fillId="0" borderId="24" xfId="0" applyNumberFormat="1" applyBorder="1"/>
    <xf numFmtId="9" fontId="0" fillId="0" borderId="27" xfId="0" applyNumberFormat="1" applyBorder="1"/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 vertical="center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Allocator Timing Results (k=15)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lab3_ref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Table2!$A$4:$A$11</c:f>
              <c:numCache>
                <c:formatCode>General</c:formatCode>
                <c:ptCount val="8"/>
                <c:pt idx="0">
                  <c:v>1000.0</c:v>
                </c:pt>
                <c:pt idx="1">
                  <c:v>2000.0</c:v>
                </c:pt>
                <c:pt idx="2">
                  <c:v>4000.0</c:v>
                </c:pt>
                <c:pt idx="3">
                  <c:v>8000.0</c:v>
                </c:pt>
                <c:pt idx="4">
                  <c:v>16000.0</c:v>
                </c:pt>
                <c:pt idx="5">
                  <c:v>32000.0</c:v>
                </c:pt>
                <c:pt idx="6">
                  <c:v>64000.0</c:v>
                </c:pt>
                <c:pt idx="7">
                  <c:v>128000.0</c:v>
                </c:pt>
              </c:numCache>
            </c:numRef>
          </c:xVal>
          <c:yVal>
            <c:numRef>
              <c:f>Table2!$B$4:$B$11</c:f>
              <c:numCache>
                <c:formatCode>General</c:formatCode>
                <c:ptCount val="8"/>
                <c:pt idx="0">
                  <c:v>0.003395</c:v>
                </c:pt>
                <c:pt idx="1">
                  <c:v>0.004204</c:v>
                </c:pt>
                <c:pt idx="2">
                  <c:v>0.005614</c:v>
                </c:pt>
                <c:pt idx="3">
                  <c:v>0.009171</c:v>
                </c:pt>
                <c:pt idx="4">
                  <c:v>0.016065</c:v>
                </c:pt>
                <c:pt idx="5">
                  <c:v>0.029343</c:v>
                </c:pt>
                <c:pt idx="6">
                  <c:v>0.056002</c:v>
                </c:pt>
                <c:pt idx="7">
                  <c:v>0.111982</c:v>
                </c:pt>
              </c:numCache>
            </c:numRef>
          </c:yVal>
          <c:smooth val="0"/>
        </c:ser>
        <c:ser>
          <c:idx val="1"/>
          <c:order val="1"/>
          <c:tx>
            <c:v>schedule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Table2!$A$4:$A$11</c:f>
              <c:numCache>
                <c:formatCode>General</c:formatCode>
                <c:ptCount val="8"/>
                <c:pt idx="0">
                  <c:v>1000.0</c:v>
                </c:pt>
                <c:pt idx="1">
                  <c:v>2000.0</c:v>
                </c:pt>
                <c:pt idx="2">
                  <c:v>4000.0</c:v>
                </c:pt>
                <c:pt idx="3">
                  <c:v>8000.0</c:v>
                </c:pt>
                <c:pt idx="4">
                  <c:v>16000.0</c:v>
                </c:pt>
                <c:pt idx="5">
                  <c:v>32000.0</c:v>
                </c:pt>
                <c:pt idx="6">
                  <c:v>64000.0</c:v>
                </c:pt>
                <c:pt idx="7">
                  <c:v>128000.0</c:v>
                </c:pt>
              </c:numCache>
            </c:numRef>
          </c:xVal>
          <c:yVal>
            <c:numRef>
              <c:f>Table2!$C$4:$C$11</c:f>
              <c:numCache>
                <c:formatCode>General</c:formatCode>
                <c:ptCount val="8"/>
                <c:pt idx="0">
                  <c:v>0.138273</c:v>
                </c:pt>
                <c:pt idx="1">
                  <c:v>0.244821</c:v>
                </c:pt>
                <c:pt idx="2">
                  <c:v>0.476344</c:v>
                </c:pt>
                <c:pt idx="3">
                  <c:v>0.953248</c:v>
                </c:pt>
                <c:pt idx="4">
                  <c:v>1.933584</c:v>
                </c:pt>
                <c:pt idx="5">
                  <c:v>4.002175</c:v>
                </c:pt>
                <c:pt idx="6">
                  <c:v>8.116975</c:v>
                </c:pt>
                <c:pt idx="7">
                  <c:v>16.461696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36013952"/>
        <c:axId val="-2072205424"/>
      </c:scatterChart>
      <c:valAx>
        <c:axId val="-2136013952"/>
        <c:scaling>
          <c:orientation val="minMax"/>
          <c:max val="128000.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Lines of Code in the Input File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2205424"/>
        <c:crosses val="autoZero"/>
        <c:crossBetween val="midCat"/>
        <c:majorUnit val="16000.0"/>
      </c:valAx>
      <c:valAx>
        <c:axId val="-20722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Scheduling Time </a:t>
                </a:r>
                <a:r>
                  <a:rPr lang="en-US" sz="1100" b="1" baseline="0"/>
                  <a:t> in Seconds</a:t>
                </a:r>
                <a:endParaRPr 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3601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177800</xdr:rowOff>
    </xdr:from>
    <xdr:to>
      <xdr:col>6</xdr:col>
      <xdr:colOff>190500</xdr:colOff>
      <xdr:row>30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J23"/>
  <sheetViews>
    <sheetView tabSelected="1" workbookViewId="0">
      <selection activeCell="K24" sqref="K24"/>
    </sheetView>
  </sheetViews>
  <sheetFormatPr baseColWidth="10" defaultRowHeight="16" x14ac:dyDescent="0.2"/>
  <cols>
    <col min="1" max="8" width="12.83203125" customWidth="1"/>
    <col min="9" max="10" width="9.6640625" customWidth="1"/>
  </cols>
  <sheetData>
    <row r="1" spans="1:10" ht="17" thickBot="1" x14ac:dyDescent="0.25"/>
    <row r="2" spans="1:10" ht="29" customHeight="1" thickTop="1" thickBot="1" x14ac:dyDescent="0.25">
      <c r="A2" s="29" t="s">
        <v>15</v>
      </c>
      <c r="B2" s="30"/>
      <c r="C2" s="30"/>
      <c r="D2" s="30"/>
      <c r="E2" s="30"/>
      <c r="F2" s="30"/>
      <c r="G2" s="30"/>
      <c r="H2" s="31"/>
      <c r="I2" s="9"/>
      <c r="J2" s="9"/>
    </row>
    <row r="3" spans="1:10" ht="19" customHeight="1" thickTop="1" x14ac:dyDescent="0.2">
      <c r="A3" s="14" t="s">
        <v>0</v>
      </c>
      <c r="B3" s="10" t="s">
        <v>14</v>
      </c>
      <c r="C3" s="10" t="s">
        <v>13</v>
      </c>
      <c r="D3" s="10" t="s">
        <v>5</v>
      </c>
      <c r="E3" s="14" t="s">
        <v>0</v>
      </c>
      <c r="F3" s="10" t="s">
        <v>14</v>
      </c>
      <c r="G3" s="10" t="s">
        <v>13</v>
      </c>
      <c r="H3" s="11" t="s">
        <v>5</v>
      </c>
    </row>
    <row r="4" spans="1:10" ht="19" customHeight="1" thickBot="1" x14ac:dyDescent="0.25">
      <c r="A4" s="15" t="s">
        <v>4</v>
      </c>
      <c r="B4" s="12" t="s">
        <v>16</v>
      </c>
      <c r="C4" s="12" t="s">
        <v>16</v>
      </c>
      <c r="D4" s="12" t="s">
        <v>17</v>
      </c>
      <c r="E4" s="15" t="s">
        <v>4</v>
      </c>
      <c r="F4" s="12" t="s">
        <v>16</v>
      </c>
      <c r="G4" s="12" t="s">
        <v>16</v>
      </c>
      <c r="H4" s="13" t="s">
        <v>17</v>
      </c>
    </row>
    <row r="5" spans="1:10" ht="19" customHeight="1" thickTop="1" x14ac:dyDescent="0.2">
      <c r="A5" s="22" t="s">
        <v>1</v>
      </c>
      <c r="B5" s="16">
        <v>30</v>
      </c>
      <c r="C5" s="17">
        <v>25</v>
      </c>
      <c r="D5" s="26">
        <f>(B5-C5)/C5</f>
        <v>0.2</v>
      </c>
      <c r="E5" s="22" t="s">
        <v>35</v>
      </c>
      <c r="F5" s="16">
        <v>25</v>
      </c>
      <c r="G5" s="17">
        <v>25</v>
      </c>
      <c r="H5" s="26">
        <f t="shared" ref="H5:H16" si="0">(F5-G5)/G5</f>
        <v>0</v>
      </c>
    </row>
    <row r="6" spans="1:10" ht="19" customHeight="1" x14ac:dyDescent="0.2">
      <c r="A6" s="23" t="s">
        <v>7</v>
      </c>
      <c r="B6" s="18">
        <v>23</v>
      </c>
      <c r="C6" s="19">
        <v>23</v>
      </c>
      <c r="D6" s="27">
        <f t="shared" ref="D6:D16" si="1">(B6-C6)/C6</f>
        <v>0</v>
      </c>
      <c r="E6" s="23" t="s">
        <v>25</v>
      </c>
      <c r="F6" s="18">
        <v>19</v>
      </c>
      <c r="G6" s="19">
        <v>19</v>
      </c>
      <c r="H6" s="27">
        <f t="shared" si="0"/>
        <v>0</v>
      </c>
    </row>
    <row r="7" spans="1:10" ht="19" customHeight="1" x14ac:dyDescent="0.2">
      <c r="A7" s="23" t="s">
        <v>8</v>
      </c>
      <c r="B7" s="18">
        <v>26</v>
      </c>
      <c r="C7" s="19">
        <v>26</v>
      </c>
      <c r="D7" s="27">
        <f t="shared" si="1"/>
        <v>0</v>
      </c>
      <c r="E7" s="23" t="s">
        <v>26</v>
      </c>
      <c r="F7" s="18">
        <v>23</v>
      </c>
      <c r="G7" s="19">
        <v>23</v>
      </c>
      <c r="H7" s="27">
        <f t="shared" si="0"/>
        <v>0</v>
      </c>
    </row>
    <row r="8" spans="1:10" ht="19" customHeight="1" x14ac:dyDescent="0.2">
      <c r="A8" s="23" t="s">
        <v>9</v>
      </c>
      <c r="B8" s="18">
        <v>36</v>
      </c>
      <c r="C8" s="19">
        <v>33</v>
      </c>
      <c r="D8" s="27">
        <f t="shared" si="1"/>
        <v>9.0909090909090912E-2</v>
      </c>
      <c r="E8" s="23" t="s">
        <v>27</v>
      </c>
      <c r="F8" s="18">
        <v>51</v>
      </c>
      <c r="G8" s="19">
        <v>57</v>
      </c>
      <c r="H8" s="27">
        <f t="shared" si="0"/>
        <v>-0.10526315789473684</v>
      </c>
    </row>
    <row r="9" spans="1:10" ht="19" customHeight="1" x14ac:dyDescent="0.2">
      <c r="A9" s="23" t="s">
        <v>3</v>
      </c>
      <c r="B9" s="18">
        <v>32</v>
      </c>
      <c r="C9" s="19">
        <v>25</v>
      </c>
      <c r="D9" s="27">
        <f t="shared" si="1"/>
        <v>0.28000000000000003</v>
      </c>
      <c r="E9" s="23" t="s">
        <v>28</v>
      </c>
      <c r="F9" s="18">
        <v>25</v>
      </c>
      <c r="G9" s="19">
        <v>21</v>
      </c>
      <c r="H9" s="27">
        <f t="shared" si="0"/>
        <v>0.19047619047619047</v>
      </c>
    </row>
    <row r="10" spans="1:10" ht="19" customHeight="1" x14ac:dyDescent="0.2">
      <c r="A10" s="23" t="s">
        <v>2</v>
      </c>
      <c r="B10" s="18">
        <v>42</v>
      </c>
      <c r="C10" s="19">
        <v>43</v>
      </c>
      <c r="D10" s="27">
        <f t="shared" si="1"/>
        <v>-2.3255813953488372E-2</v>
      </c>
      <c r="E10" s="23" t="s">
        <v>29</v>
      </c>
      <c r="F10" s="18">
        <v>23</v>
      </c>
      <c r="G10" s="19">
        <v>22</v>
      </c>
      <c r="H10" s="27">
        <f t="shared" si="0"/>
        <v>4.5454545454545456E-2</v>
      </c>
    </row>
    <row r="11" spans="1:10" ht="19" customHeight="1" x14ac:dyDescent="0.2">
      <c r="A11" s="23" t="s">
        <v>18</v>
      </c>
      <c r="B11" s="18">
        <v>36</v>
      </c>
      <c r="C11" s="19">
        <v>36</v>
      </c>
      <c r="D11" s="27">
        <f t="shared" si="1"/>
        <v>0</v>
      </c>
      <c r="E11" s="23" t="s">
        <v>30</v>
      </c>
      <c r="F11" s="18">
        <v>38</v>
      </c>
      <c r="G11" s="19">
        <v>42</v>
      </c>
      <c r="H11" s="27">
        <f t="shared" si="0"/>
        <v>-9.5238095238095233E-2</v>
      </c>
    </row>
    <row r="12" spans="1:10" ht="19" customHeight="1" x14ac:dyDescent="0.2">
      <c r="A12" s="23" t="s">
        <v>19</v>
      </c>
      <c r="B12" s="18">
        <v>15</v>
      </c>
      <c r="C12" s="19">
        <v>15</v>
      </c>
      <c r="D12" s="27">
        <f t="shared" si="1"/>
        <v>0</v>
      </c>
      <c r="E12" s="23" t="s">
        <v>31</v>
      </c>
      <c r="F12" s="18">
        <v>24</v>
      </c>
      <c r="G12" s="19">
        <v>22</v>
      </c>
      <c r="H12" s="27">
        <f t="shared" si="0"/>
        <v>9.0909090909090912E-2</v>
      </c>
    </row>
    <row r="13" spans="1:10" ht="19" customHeight="1" x14ac:dyDescent="0.2">
      <c r="A13" s="23" t="s">
        <v>20</v>
      </c>
      <c r="B13" s="18">
        <v>40</v>
      </c>
      <c r="C13" s="19">
        <v>26</v>
      </c>
      <c r="D13" s="27">
        <f t="shared" si="1"/>
        <v>0.53846153846153844</v>
      </c>
      <c r="E13" s="23" t="s">
        <v>32</v>
      </c>
      <c r="F13" s="18">
        <v>74</v>
      </c>
      <c r="G13" s="19">
        <v>72</v>
      </c>
      <c r="H13" s="27">
        <f t="shared" si="0"/>
        <v>2.7777777777777776E-2</v>
      </c>
    </row>
    <row r="14" spans="1:10" ht="19" customHeight="1" x14ac:dyDescent="0.2">
      <c r="A14" s="23" t="s">
        <v>21</v>
      </c>
      <c r="B14" s="18">
        <v>42</v>
      </c>
      <c r="C14" s="19">
        <v>40</v>
      </c>
      <c r="D14" s="27">
        <f t="shared" si="1"/>
        <v>0.05</v>
      </c>
      <c r="E14" s="23" t="s">
        <v>33</v>
      </c>
      <c r="F14" s="18">
        <v>52</v>
      </c>
      <c r="G14" s="19">
        <v>52</v>
      </c>
      <c r="H14" s="27">
        <f t="shared" si="0"/>
        <v>0</v>
      </c>
    </row>
    <row r="15" spans="1:10" ht="19" customHeight="1" x14ac:dyDescent="0.2">
      <c r="A15" s="23" t="s">
        <v>22</v>
      </c>
      <c r="B15" s="18">
        <v>32</v>
      </c>
      <c r="C15" s="19">
        <v>30</v>
      </c>
      <c r="D15" s="27">
        <f t="shared" si="1"/>
        <v>6.6666666666666666E-2</v>
      </c>
      <c r="E15" s="23" t="s">
        <v>34</v>
      </c>
      <c r="F15" s="18">
        <v>69</v>
      </c>
      <c r="G15" s="19">
        <v>69</v>
      </c>
      <c r="H15" s="27">
        <f t="shared" si="0"/>
        <v>0</v>
      </c>
    </row>
    <row r="16" spans="1:10" ht="19" customHeight="1" thickBot="1" x14ac:dyDescent="0.25">
      <c r="A16" s="24" t="s">
        <v>23</v>
      </c>
      <c r="B16" s="20">
        <v>21</v>
      </c>
      <c r="C16" s="21">
        <v>21</v>
      </c>
      <c r="D16" s="28">
        <f t="shared" si="1"/>
        <v>0</v>
      </c>
      <c r="E16" s="25" t="s">
        <v>24</v>
      </c>
      <c r="F16" s="20">
        <v>25</v>
      </c>
      <c r="G16" s="21">
        <v>25</v>
      </c>
      <c r="H16" s="28">
        <f t="shared" si="0"/>
        <v>0</v>
      </c>
    </row>
    <row r="17" spans="1:10" ht="17" thickTop="1" x14ac:dyDescent="0.2"/>
    <row r="18" spans="1:10" x14ac:dyDescent="0.2">
      <c r="A18" s="32" t="s">
        <v>6</v>
      </c>
      <c r="B18" s="32"/>
      <c r="C18" s="32"/>
      <c r="D18" s="32"/>
      <c r="E18" s="32"/>
      <c r="F18" s="32"/>
      <c r="G18" s="32"/>
      <c r="H18" s="32"/>
      <c r="I18" s="8"/>
      <c r="J18" s="8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3" spans="1:10" x14ac:dyDescent="0.2">
      <c r="A23" s="7"/>
    </row>
  </sheetData>
  <mergeCells count="2">
    <mergeCell ref="A2:H2"/>
    <mergeCell ref="A18:H18"/>
  </mergeCells>
  <phoneticPr fontId="4" type="noConversion"/>
  <pageMargins left="0.75" right="0.75" top="1" bottom="1" header="0.5" footer="0.5"/>
  <pageSetup scale="88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J25" sqref="J25"/>
    </sheetView>
  </sheetViews>
  <sheetFormatPr baseColWidth="10" defaultRowHeight="16" x14ac:dyDescent="0.2"/>
  <cols>
    <col min="1" max="3" width="15" customWidth="1"/>
  </cols>
  <sheetData>
    <row r="1" spans="1:3" ht="19" x14ac:dyDescent="0.25">
      <c r="A1" s="35" t="s">
        <v>10</v>
      </c>
      <c r="B1" s="36"/>
      <c r="C1" s="37"/>
    </row>
    <row r="2" spans="1:3" x14ac:dyDescent="0.2">
      <c r="A2" s="38" t="s">
        <v>11</v>
      </c>
      <c r="B2" s="33" t="s">
        <v>12</v>
      </c>
      <c r="C2" s="34"/>
    </row>
    <row r="3" spans="1:3" x14ac:dyDescent="0.2">
      <c r="A3" s="38"/>
      <c r="B3" s="5" t="s">
        <v>13</v>
      </c>
      <c r="C3" s="6" t="s">
        <v>14</v>
      </c>
    </row>
    <row r="4" spans="1:3" x14ac:dyDescent="0.2">
      <c r="A4" s="3">
        <v>1000</v>
      </c>
      <c r="B4" s="2">
        <v>3.395E-3</v>
      </c>
      <c r="C4" s="2">
        <v>0.13827300000000001</v>
      </c>
    </row>
    <row r="5" spans="1:3" x14ac:dyDescent="0.2">
      <c r="A5" s="3">
        <v>2000</v>
      </c>
      <c r="B5" s="2">
        <v>4.2040000000000003E-3</v>
      </c>
      <c r="C5" s="2">
        <v>0.24482100000000001</v>
      </c>
    </row>
    <row r="6" spans="1:3" x14ac:dyDescent="0.2">
      <c r="A6" s="3">
        <v>4000</v>
      </c>
      <c r="B6" s="2">
        <v>5.6140000000000001E-3</v>
      </c>
      <c r="C6" s="2">
        <v>0.47634399999999999</v>
      </c>
    </row>
    <row r="7" spans="1:3" x14ac:dyDescent="0.2">
      <c r="A7" s="3">
        <v>8000</v>
      </c>
      <c r="B7" s="2">
        <v>9.1710000000000003E-3</v>
      </c>
      <c r="C7" s="2">
        <v>0.95324799999999998</v>
      </c>
    </row>
    <row r="8" spans="1:3" x14ac:dyDescent="0.2">
      <c r="A8" s="3">
        <v>16000</v>
      </c>
      <c r="B8" s="2">
        <v>1.6064999999999999E-2</v>
      </c>
      <c r="C8" s="2">
        <v>1.933584</v>
      </c>
    </row>
    <row r="9" spans="1:3" x14ac:dyDescent="0.2">
      <c r="A9" s="3">
        <v>32000</v>
      </c>
      <c r="B9" s="2">
        <v>2.9343000000000001E-2</v>
      </c>
      <c r="C9" s="2">
        <v>4.0021750000000003</v>
      </c>
    </row>
    <row r="10" spans="1:3" x14ac:dyDescent="0.2">
      <c r="A10" s="3">
        <v>64000</v>
      </c>
      <c r="B10" s="2">
        <v>5.6002000000000003E-2</v>
      </c>
      <c r="C10" s="2">
        <v>8.1169750000000001</v>
      </c>
    </row>
    <row r="11" spans="1:3" x14ac:dyDescent="0.2">
      <c r="A11" s="4">
        <v>128000</v>
      </c>
      <c r="B11" s="2">
        <v>0.111982</v>
      </c>
      <c r="C11" s="2">
        <v>16.461696</v>
      </c>
    </row>
  </sheetData>
  <mergeCells count="3">
    <mergeCell ref="B2:C2"/>
    <mergeCell ref="A1:C1"/>
    <mergeCell ref="A2:A3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>Rice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Torczon</dc:creator>
  <cp:lastModifiedBy>Vi Nguyen</cp:lastModifiedBy>
  <cp:lastPrinted>2014-03-25T20:51:22Z</cp:lastPrinted>
  <dcterms:created xsi:type="dcterms:W3CDTF">2014-03-04T22:35:09Z</dcterms:created>
  <dcterms:modified xsi:type="dcterms:W3CDTF">2017-11-23T05:24:22Z</dcterms:modified>
</cp:coreProperties>
</file>