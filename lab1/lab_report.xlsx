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07"/>
  <workbookPr showInkAnnotation="0"/>
  <mc:AlternateContent xmlns:mc="http://schemas.openxmlformats.org/markup-compatibility/2006">
    <mc:Choice Requires="x15">
      <x15ac:absPath xmlns:x15ac="http://schemas.microsoft.com/office/spreadsheetml/2010/11/ac" url="/Users/nguyenkvi/Desktop/comp412/lab1/"/>
    </mc:Choice>
  </mc:AlternateContent>
  <bookViews>
    <workbookView xWindow="5740" yWindow="460" windowWidth="19860" windowHeight="14380" tabRatio="500" activeTab="1"/>
  </bookViews>
  <sheets>
    <sheet name="Table 1" sheetId="1" r:id="rId1"/>
    <sheet name="Table 2" sheetId="2" r:id="rId2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5" i="1" l="1"/>
  <c r="H35" i="1"/>
  <c r="G35" i="1"/>
  <c r="F35" i="1"/>
  <c r="E35" i="1"/>
  <c r="D35" i="1"/>
  <c r="I31" i="1"/>
  <c r="H31" i="1"/>
  <c r="G31" i="1"/>
  <c r="F31" i="1"/>
  <c r="E31" i="1"/>
  <c r="D31" i="1"/>
  <c r="I27" i="1"/>
  <c r="H27" i="1"/>
  <c r="G27" i="1"/>
  <c r="F27" i="1"/>
  <c r="E27" i="1"/>
  <c r="D27" i="1"/>
  <c r="I23" i="1"/>
  <c r="H23" i="1"/>
  <c r="G23" i="1"/>
  <c r="F23" i="1"/>
  <c r="E23" i="1"/>
  <c r="D23" i="1"/>
  <c r="I19" i="1"/>
  <c r="H19" i="1"/>
  <c r="G19" i="1"/>
  <c r="F19" i="1"/>
  <c r="E19" i="1"/>
  <c r="D19" i="1"/>
  <c r="I15" i="1"/>
  <c r="H15" i="1"/>
  <c r="G15" i="1"/>
  <c r="F15" i="1"/>
  <c r="E15" i="1"/>
  <c r="D15" i="1"/>
  <c r="I11" i="1"/>
  <c r="H11" i="1"/>
  <c r="G11" i="1"/>
  <c r="F11" i="1"/>
  <c r="E11" i="1"/>
  <c r="D11" i="1"/>
  <c r="E7" i="1"/>
  <c r="F7" i="1"/>
  <c r="G7" i="1"/>
  <c r="H7" i="1"/>
  <c r="I7" i="1"/>
  <c r="D7" i="1"/>
</calcChain>
</file>

<file path=xl/sharedStrings.xml><?xml version="1.0" encoding="utf-8"?>
<sst xmlns="http://schemas.openxmlformats.org/spreadsheetml/2006/main" count="81" uniqueCount="37">
  <si>
    <t>Input Block</t>
  </si>
  <si>
    <t>Allocator</t>
  </si>
  <si>
    <t>Units</t>
  </si>
  <si>
    <t>Available Registers</t>
  </si>
  <si>
    <t>k=3</t>
  </si>
  <si>
    <t>k=4</t>
  </si>
  <si>
    <t>k=5</t>
  </si>
  <si>
    <t>k=6</t>
  </si>
  <si>
    <t>k=8</t>
  </si>
  <si>
    <t>k=10</t>
  </si>
  <si>
    <t>Original ILOC Code</t>
  </si>
  <si>
    <t>Table 1: Total Cycles Required for Lab 1 Report Blocks &amp; Submitted Block</t>
  </si>
  <si>
    <t>report1.i</t>
  </si>
  <si>
    <t>lab1_ref</t>
  </si>
  <si>
    <t>cycles</t>
  </si>
  <si>
    <t>412alloc</t>
  </si>
  <si>
    <t>difference</t>
  </si>
  <si>
    <t>percent</t>
  </si>
  <si>
    <t>report2.i</t>
  </si>
  <si>
    <t>report3.i</t>
  </si>
  <si>
    <t>report4.i</t>
  </si>
  <si>
    <t>report5.i</t>
  </si>
  <si>
    <t>report6.i</t>
  </si>
  <si>
    <t>report7.i</t>
  </si>
  <si>
    <t>vkn1.i</t>
  </si>
  <si>
    <t>54 cycles</t>
  </si>
  <si>
    <t>56 cycles</t>
  </si>
  <si>
    <t>82 cycles</t>
  </si>
  <si>
    <t>68 cycles</t>
  </si>
  <si>
    <t>30 cycles</t>
  </si>
  <si>
    <t>105 cycles</t>
  </si>
  <si>
    <t>44 cycles</t>
  </si>
  <si>
    <t>Table 2: Allocator Timing Results (k=15)</t>
  </si>
  <si>
    <t>Input (lines)</t>
  </si>
  <si>
    <t>Allocation Time (seconds)</t>
  </si>
  <si>
    <t>412alloc (Python)</t>
  </si>
  <si>
    <t>43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</si>
</sst>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3" borderId="1" xfId="2" applyBorder="1" applyAlignment="1">
      <alignment horizontal="center" vertical="center" wrapText="1"/>
    </xf>
    <xf numFmtId="0" fontId="4" fillId="2" borderId="1" xfId="1" applyBorder="1" applyAlignment="1">
      <alignment wrapText="1"/>
    </xf>
    <xf numFmtId="0" fontId="4" fillId="2" borderId="1" xfId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3" fillId="4" borderId="5" xfId="3" applyFont="1" applyBorder="1" applyAlignment="1">
      <alignment horizontal="center" vertical="center" wrapText="1"/>
    </xf>
    <xf numFmtId="0" fontId="3" fillId="4" borderId="6" xfId="3" applyFont="1" applyBorder="1" applyAlignment="1">
      <alignment horizontal="center" vertical="center" wrapText="1"/>
    </xf>
    <xf numFmtId="0" fontId="3" fillId="4" borderId="7" xfId="3" applyFont="1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2" fillId="3" borderId="1" xfId="2" applyBorder="1" applyAlignment="1">
      <alignment horizontal="center" vertical="center"/>
    </xf>
    <xf numFmtId="9" fontId="0" fillId="0" borderId="0" xfId="4" applyFont="1" applyAlignment="1">
      <alignment wrapText="1"/>
    </xf>
    <xf numFmtId="0" fontId="0" fillId="0" borderId="8" xfId="0" applyBorder="1"/>
    <xf numFmtId="0" fontId="0" fillId="0" borderId="9" xfId="0" applyBorder="1"/>
    <xf numFmtId="0" fontId="3" fillId="4" borderId="1" xfId="3" applyFont="1" applyBorder="1" applyAlignment="1">
      <alignment horizontal="center" vertical="center"/>
    </xf>
  </cellXfs>
  <cellStyles count="5">
    <cellStyle name="20% - Accent3" xfId="2" builtinId="38"/>
    <cellStyle name="40% - Accent3" xfId="3" builtinId="39"/>
    <cellStyle name="Accent3" xfId="1" builtinId="37"/>
    <cellStyle name="Normal" xfId="0" builtinId="0"/>
    <cellStyle name="Percent" xfId="4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Graph 1: Allocator Timing Results (k=15)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'Table 2'!$B$3</c:f>
              <c:strCache>
                <c:ptCount val="1"/>
                <c:pt idx="0">
                  <c:v>lab1_ref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'Table 2'!$A$4:$A$11</c:f>
              <c:numCache>
                <c:formatCode>General</c:formatCode>
                <c:ptCount val="8"/>
                <c:pt idx="0">
                  <c:v>1000.0</c:v>
                </c:pt>
                <c:pt idx="1">
                  <c:v>2000.0</c:v>
                </c:pt>
                <c:pt idx="2">
                  <c:v>4000.0</c:v>
                </c:pt>
                <c:pt idx="3">
                  <c:v>8000.0</c:v>
                </c:pt>
                <c:pt idx="4">
                  <c:v>16000.0</c:v>
                </c:pt>
                <c:pt idx="5">
                  <c:v>32000.0</c:v>
                </c:pt>
                <c:pt idx="6">
                  <c:v>64000.0</c:v>
                </c:pt>
                <c:pt idx="7">
                  <c:v>128000.0</c:v>
                </c:pt>
              </c:numCache>
            </c:numRef>
          </c:xVal>
          <c:yVal>
            <c:numRef>
              <c:f>'Table 2'!$B$4:$B$11</c:f>
              <c:numCache>
                <c:formatCode>General</c:formatCode>
                <c:ptCount val="8"/>
                <c:pt idx="0">
                  <c:v>0.004504</c:v>
                </c:pt>
                <c:pt idx="1">
                  <c:v>0.004242</c:v>
                </c:pt>
                <c:pt idx="2">
                  <c:v>0.006011</c:v>
                </c:pt>
                <c:pt idx="3">
                  <c:v>0.009951</c:v>
                </c:pt>
                <c:pt idx="4">
                  <c:v>0.017574</c:v>
                </c:pt>
                <c:pt idx="5">
                  <c:v>0.032351</c:v>
                </c:pt>
                <c:pt idx="6">
                  <c:v>0.062378</c:v>
                </c:pt>
                <c:pt idx="7">
                  <c:v>0.122795</c:v>
                </c:pt>
              </c:numCache>
            </c:numRef>
          </c:yVal>
          <c:smooth val="1"/>
        </c:ser>
        <c:ser>
          <c:idx val="2"/>
          <c:order val="1"/>
          <c:tx>
            <c:strRef>
              <c:f>'Table 2'!$C$3</c:f>
              <c:strCache>
                <c:ptCount val="1"/>
                <c:pt idx="0">
                  <c:v>412alloc (Python)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'Table 2'!$A$4:$A$11</c:f>
              <c:numCache>
                <c:formatCode>General</c:formatCode>
                <c:ptCount val="8"/>
                <c:pt idx="0">
                  <c:v>1000.0</c:v>
                </c:pt>
                <c:pt idx="1">
                  <c:v>2000.0</c:v>
                </c:pt>
                <c:pt idx="2">
                  <c:v>4000.0</c:v>
                </c:pt>
                <c:pt idx="3">
                  <c:v>8000.0</c:v>
                </c:pt>
                <c:pt idx="4">
                  <c:v>16000.0</c:v>
                </c:pt>
                <c:pt idx="5">
                  <c:v>32000.0</c:v>
                </c:pt>
                <c:pt idx="6">
                  <c:v>64000.0</c:v>
                </c:pt>
                <c:pt idx="7">
                  <c:v>128000.0</c:v>
                </c:pt>
              </c:numCache>
            </c:numRef>
          </c:xVal>
          <c:yVal>
            <c:numRef>
              <c:f>'Table 2'!$C$4:$C$11</c:f>
              <c:numCache>
                <c:formatCode>General</c:formatCode>
                <c:ptCount val="8"/>
                <c:pt idx="0">
                  <c:v>0.090151</c:v>
                </c:pt>
                <c:pt idx="1">
                  <c:v>0.158631</c:v>
                </c:pt>
                <c:pt idx="2">
                  <c:v>0.299422</c:v>
                </c:pt>
                <c:pt idx="3">
                  <c:v>0.598569</c:v>
                </c:pt>
                <c:pt idx="4">
                  <c:v>1.20773</c:v>
                </c:pt>
                <c:pt idx="5">
                  <c:v>2.584747</c:v>
                </c:pt>
                <c:pt idx="6">
                  <c:v>5.315851</c:v>
                </c:pt>
                <c:pt idx="7">
                  <c:v>10.648976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074246720"/>
        <c:axId val="-2074240752"/>
      </c:scatterChart>
      <c:valAx>
        <c:axId val="-207424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Length (lines)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4240752"/>
        <c:crosses val="autoZero"/>
        <c:crossBetween val="midCat"/>
      </c:valAx>
      <c:valAx>
        <c:axId val="-20742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Allocation Time (seconds)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74246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939800</xdr:colOff>
      <xdr:row>2</xdr:row>
      <xdr:rowOff>50800</xdr:rowOff>
    </xdr:from>
    <xdr:to>
      <xdr:col>11</xdr:col>
      <xdr:colOff>139700</xdr:colOff>
      <xdr:row>26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zoomScale="80" zoomScaleNormal="80" zoomScalePageLayoutView="80" workbookViewId="0">
      <selection activeCell="D41" sqref="D41"/>
    </sheetView>
  </sheetViews>
  <sheetFormatPr baseColWidth="10" defaultRowHeight="16" x14ac:dyDescent="0.2"/>
  <cols>
    <col min="1" max="3" width="10.83203125" style="1"/>
    <col min="4" max="9" width="7.1640625" style="1" customWidth="1"/>
    <col min="10" max="10" width="15.33203125" style="2" customWidth="1"/>
    <col min="11" max="16384" width="10.83203125" style="1"/>
  </cols>
  <sheetData>
    <row r="1" spans="1:10" ht="34" customHeight="1" x14ac:dyDescent="0.2">
      <c r="A1" s="10" t="s">
        <v>11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6" customHeight="1" x14ac:dyDescent="0.2">
      <c r="A2" s="13" t="s">
        <v>0</v>
      </c>
      <c r="B2" s="13" t="s">
        <v>1</v>
      </c>
      <c r="C2" s="13" t="s">
        <v>2</v>
      </c>
      <c r="D2" s="13" t="s">
        <v>3</v>
      </c>
      <c r="E2" s="13"/>
      <c r="F2" s="13"/>
      <c r="G2" s="13"/>
      <c r="H2" s="13"/>
      <c r="I2" s="13"/>
      <c r="J2" s="13" t="s">
        <v>10</v>
      </c>
    </row>
    <row r="3" spans="1:10" x14ac:dyDescent="0.2">
      <c r="A3" s="13"/>
      <c r="B3" s="13"/>
      <c r="C3" s="13"/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3"/>
    </row>
    <row r="4" spans="1:10" x14ac:dyDescent="0.2">
      <c r="A4" s="4" t="s">
        <v>12</v>
      </c>
      <c r="B4" s="4"/>
      <c r="C4" s="4"/>
      <c r="D4" s="4"/>
      <c r="E4" s="4"/>
      <c r="F4" s="4"/>
      <c r="G4" s="4"/>
      <c r="H4" s="4"/>
      <c r="I4" s="4"/>
      <c r="J4" s="5"/>
    </row>
    <row r="5" spans="1:10" x14ac:dyDescent="0.2">
      <c r="A5" s="14"/>
      <c r="B5" s="1" t="s">
        <v>13</v>
      </c>
      <c r="C5" s="1" t="s">
        <v>14</v>
      </c>
      <c r="D5" s="1">
        <v>215</v>
      </c>
      <c r="E5" s="1">
        <v>161</v>
      </c>
      <c r="F5" s="1">
        <v>125</v>
      </c>
      <c r="G5" s="1">
        <v>95</v>
      </c>
      <c r="H5" s="1">
        <v>65</v>
      </c>
      <c r="I5" s="1">
        <v>54</v>
      </c>
      <c r="J5" s="16" t="s">
        <v>25</v>
      </c>
    </row>
    <row r="6" spans="1:10" ht="17" thickBot="1" x14ac:dyDescent="0.25">
      <c r="A6" s="15"/>
      <c r="B6" s="6" t="s">
        <v>15</v>
      </c>
      <c r="C6" s="6" t="s">
        <v>14</v>
      </c>
      <c r="D6" s="6">
        <v>241</v>
      </c>
      <c r="E6" s="6">
        <v>201</v>
      </c>
      <c r="F6" s="6">
        <v>159</v>
      </c>
      <c r="G6" s="6">
        <v>132</v>
      </c>
      <c r="H6" s="6">
        <v>105</v>
      </c>
      <c r="I6" s="6">
        <v>96</v>
      </c>
      <c r="J6" s="17"/>
    </row>
    <row r="7" spans="1:10" ht="17" thickTop="1" x14ac:dyDescent="0.2">
      <c r="A7" s="19"/>
      <c r="B7" s="1" t="s">
        <v>16</v>
      </c>
      <c r="C7" s="1" t="s">
        <v>17</v>
      </c>
      <c r="D7" s="21">
        <f xml:space="preserve"> (D5-D6) / D5</f>
        <v>-0.12093023255813953</v>
      </c>
      <c r="E7" s="21">
        <f t="shared" ref="E7:I7" si="0" xml:space="preserve"> (E5-E6) / E5</f>
        <v>-0.2484472049689441</v>
      </c>
      <c r="F7" s="21">
        <f t="shared" si="0"/>
        <v>-0.27200000000000002</v>
      </c>
      <c r="G7" s="21">
        <f t="shared" si="0"/>
        <v>-0.38947368421052631</v>
      </c>
      <c r="H7" s="21">
        <f t="shared" si="0"/>
        <v>-0.61538461538461542</v>
      </c>
      <c r="I7" s="21">
        <f t="shared" si="0"/>
        <v>-0.77777777777777779</v>
      </c>
      <c r="J7" s="18"/>
    </row>
    <row r="8" spans="1:10" x14ac:dyDescent="0.2">
      <c r="A8" s="4" t="s">
        <v>18</v>
      </c>
      <c r="B8" s="4"/>
      <c r="C8" s="4"/>
      <c r="D8" s="4"/>
      <c r="E8" s="4"/>
      <c r="F8" s="4"/>
      <c r="G8" s="4"/>
      <c r="H8" s="4"/>
      <c r="I8" s="4"/>
      <c r="J8" s="5"/>
    </row>
    <row r="9" spans="1:10" x14ac:dyDescent="0.2">
      <c r="A9" s="14"/>
      <c r="B9" s="1" t="s">
        <v>13</v>
      </c>
      <c r="C9" s="1" t="s">
        <v>14</v>
      </c>
      <c r="D9" s="1">
        <v>171</v>
      </c>
      <c r="E9" s="1">
        <v>117</v>
      </c>
      <c r="F9" s="1">
        <v>105</v>
      </c>
      <c r="G9" s="1">
        <v>99</v>
      </c>
      <c r="H9" s="1">
        <v>92</v>
      </c>
      <c r="I9" s="1">
        <v>86</v>
      </c>
      <c r="J9" s="16" t="s">
        <v>26</v>
      </c>
    </row>
    <row r="10" spans="1:10" ht="17" thickBot="1" x14ac:dyDescent="0.25">
      <c r="A10" s="15"/>
      <c r="B10" s="6" t="s">
        <v>15</v>
      </c>
      <c r="C10" s="6" t="s">
        <v>14</v>
      </c>
      <c r="D10" s="6">
        <v>284</v>
      </c>
      <c r="E10" s="6">
        <v>187</v>
      </c>
      <c r="F10" s="6">
        <v>122</v>
      </c>
      <c r="G10" s="6">
        <v>118</v>
      </c>
      <c r="H10" s="6">
        <v>104</v>
      </c>
      <c r="I10" s="6">
        <v>92</v>
      </c>
      <c r="J10" s="17"/>
    </row>
    <row r="11" spans="1:10" ht="17" thickTop="1" x14ac:dyDescent="0.2">
      <c r="A11" s="19"/>
      <c r="B11" s="1" t="s">
        <v>16</v>
      </c>
      <c r="C11" s="1" t="s">
        <v>17</v>
      </c>
      <c r="D11" s="21">
        <f xml:space="preserve"> (D9-D10) / D9</f>
        <v>-0.66081871345029242</v>
      </c>
      <c r="E11" s="21">
        <f t="shared" ref="E11" si="1" xml:space="preserve"> (E9-E10) / E9</f>
        <v>-0.59829059829059827</v>
      </c>
      <c r="F11" s="21">
        <f t="shared" ref="F11" si="2" xml:space="preserve"> (F9-F10) / F9</f>
        <v>-0.16190476190476191</v>
      </c>
      <c r="G11" s="21">
        <f t="shared" ref="G11" si="3" xml:space="preserve"> (G9-G10) / G9</f>
        <v>-0.19191919191919191</v>
      </c>
      <c r="H11" s="21">
        <f t="shared" ref="H11" si="4" xml:space="preserve"> (H9-H10) / H9</f>
        <v>-0.13043478260869565</v>
      </c>
      <c r="I11" s="21">
        <f t="shared" ref="I11" si="5" xml:space="preserve"> (I9-I10) / I9</f>
        <v>-6.9767441860465115E-2</v>
      </c>
      <c r="J11" s="18"/>
    </row>
    <row r="12" spans="1:10" x14ac:dyDescent="0.2">
      <c r="A12" s="4" t="s">
        <v>19</v>
      </c>
      <c r="B12" s="4"/>
      <c r="C12" s="4"/>
      <c r="D12" s="4"/>
      <c r="E12" s="4"/>
      <c r="F12" s="4"/>
      <c r="G12" s="4"/>
      <c r="H12" s="4"/>
      <c r="I12" s="4"/>
      <c r="J12" s="5"/>
    </row>
    <row r="13" spans="1:10" x14ac:dyDescent="0.2">
      <c r="A13" s="14"/>
      <c r="B13" s="1" t="s">
        <v>13</v>
      </c>
      <c r="C13" s="1" t="s">
        <v>14</v>
      </c>
      <c r="D13" s="1">
        <v>409</v>
      </c>
      <c r="E13" s="1">
        <v>351</v>
      </c>
      <c r="F13" s="1">
        <v>312</v>
      </c>
      <c r="G13" s="1">
        <v>266</v>
      </c>
      <c r="H13" s="1">
        <v>217</v>
      </c>
      <c r="I13" s="1">
        <v>179</v>
      </c>
      <c r="J13" s="16" t="s">
        <v>27</v>
      </c>
    </row>
    <row r="14" spans="1:10" ht="17" thickBot="1" x14ac:dyDescent="0.25">
      <c r="A14" s="15"/>
      <c r="B14" s="6" t="s">
        <v>15</v>
      </c>
      <c r="C14" s="6" t="s">
        <v>14</v>
      </c>
      <c r="D14" s="6">
        <v>436</v>
      </c>
      <c r="E14" s="6">
        <v>356</v>
      </c>
      <c r="F14" s="6">
        <v>307</v>
      </c>
      <c r="G14" s="6">
        <v>262</v>
      </c>
      <c r="H14" s="6">
        <v>219</v>
      </c>
      <c r="I14" s="6">
        <v>179</v>
      </c>
      <c r="J14" s="17"/>
    </row>
    <row r="15" spans="1:10" ht="17" thickTop="1" x14ac:dyDescent="0.2">
      <c r="A15" s="19"/>
      <c r="B15" s="1" t="s">
        <v>16</v>
      </c>
      <c r="C15" s="1" t="s">
        <v>17</v>
      </c>
      <c r="D15" s="21">
        <f xml:space="preserve"> (D13-D14) / D13</f>
        <v>-6.6014669926650366E-2</v>
      </c>
      <c r="E15" s="21">
        <f t="shared" ref="E15" si="6" xml:space="preserve"> (E13-E14) / E13</f>
        <v>-1.4245014245014245E-2</v>
      </c>
      <c r="F15" s="21">
        <f t="shared" ref="F15" si="7" xml:space="preserve"> (F13-F14) / F13</f>
        <v>1.6025641025641024E-2</v>
      </c>
      <c r="G15" s="21">
        <f t="shared" ref="G15" si="8" xml:space="preserve"> (G13-G14) / G13</f>
        <v>1.5037593984962405E-2</v>
      </c>
      <c r="H15" s="21">
        <f t="shared" ref="H15" si="9" xml:space="preserve"> (H13-H14) / H13</f>
        <v>-9.2165898617511521E-3</v>
      </c>
      <c r="I15" s="21">
        <f t="shared" ref="I15" si="10" xml:space="preserve"> (I13-I14) / I13</f>
        <v>0</v>
      </c>
      <c r="J15" s="18"/>
    </row>
    <row r="16" spans="1:10" x14ac:dyDescent="0.2">
      <c r="A16" s="4" t="s">
        <v>20</v>
      </c>
      <c r="B16" s="4"/>
      <c r="C16" s="4"/>
      <c r="D16" s="4"/>
      <c r="E16" s="4"/>
      <c r="F16" s="4"/>
      <c r="G16" s="4"/>
      <c r="H16" s="4"/>
      <c r="I16" s="4"/>
      <c r="J16" s="5"/>
    </row>
    <row r="17" spans="1:10" x14ac:dyDescent="0.2">
      <c r="A17" s="14"/>
      <c r="B17" s="1" t="s">
        <v>13</v>
      </c>
      <c r="C17" s="1" t="s">
        <v>14</v>
      </c>
      <c r="D17" s="1">
        <v>169</v>
      </c>
      <c r="E17" s="1">
        <v>162</v>
      </c>
      <c r="F17" s="1">
        <v>156</v>
      </c>
      <c r="G17" s="1">
        <v>150</v>
      </c>
      <c r="H17" s="1">
        <v>138</v>
      </c>
      <c r="I17" s="1">
        <v>124</v>
      </c>
      <c r="J17" s="16" t="s">
        <v>28</v>
      </c>
    </row>
    <row r="18" spans="1:10" ht="17" thickBot="1" x14ac:dyDescent="0.25">
      <c r="A18" s="15"/>
      <c r="B18" s="6" t="s">
        <v>15</v>
      </c>
      <c r="C18" s="6" t="s">
        <v>14</v>
      </c>
      <c r="D18" s="6">
        <v>189</v>
      </c>
      <c r="E18" s="6">
        <v>183</v>
      </c>
      <c r="F18" s="6">
        <v>177</v>
      </c>
      <c r="G18" s="6">
        <v>171</v>
      </c>
      <c r="H18" s="6">
        <v>159</v>
      </c>
      <c r="I18" s="6">
        <v>147</v>
      </c>
      <c r="J18" s="17"/>
    </row>
    <row r="19" spans="1:10" ht="17" thickTop="1" x14ac:dyDescent="0.2">
      <c r="A19" s="19"/>
      <c r="B19" s="1" t="s">
        <v>16</v>
      </c>
      <c r="C19" s="1" t="s">
        <v>17</v>
      </c>
      <c r="D19" s="21">
        <f xml:space="preserve"> (D17-D18) / D17</f>
        <v>-0.11834319526627218</v>
      </c>
      <c r="E19" s="21">
        <f t="shared" ref="E19" si="11" xml:space="preserve"> (E17-E18) / E17</f>
        <v>-0.12962962962962962</v>
      </c>
      <c r="F19" s="21">
        <f t="shared" ref="F19" si="12" xml:space="preserve"> (F17-F18) / F17</f>
        <v>-0.13461538461538461</v>
      </c>
      <c r="G19" s="21">
        <f t="shared" ref="G19" si="13" xml:space="preserve"> (G17-G18) / G17</f>
        <v>-0.14000000000000001</v>
      </c>
      <c r="H19" s="21">
        <f t="shared" ref="H19" si="14" xml:space="preserve"> (H17-H18) / H17</f>
        <v>-0.15217391304347827</v>
      </c>
      <c r="I19" s="21">
        <f t="shared" ref="I19" si="15" xml:space="preserve"> (I17-I18) / I17</f>
        <v>-0.18548387096774194</v>
      </c>
      <c r="J19" s="18"/>
    </row>
    <row r="20" spans="1:10" x14ac:dyDescent="0.2">
      <c r="A20" s="4" t="s">
        <v>21</v>
      </c>
      <c r="B20" s="4"/>
      <c r="C20" s="4"/>
      <c r="D20" s="4"/>
      <c r="E20" s="4"/>
      <c r="F20" s="4"/>
      <c r="G20" s="4"/>
      <c r="H20" s="4"/>
      <c r="I20" s="4"/>
      <c r="J20" s="5"/>
    </row>
    <row r="21" spans="1:10" x14ac:dyDescent="0.2">
      <c r="A21" s="14"/>
      <c r="B21" s="1" t="s">
        <v>13</v>
      </c>
      <c r="C21" s="1" t="s">
        <v>14</v>
      </c>
      <c r="D21" s="22">
        <v>79</v>
      </c>
      <c r="E21" s="23">
        <v>56</v>
      </c>
      <c r="F21" s="23">
        <v>43</v>
      </c>
      <c r="G21" s="23">
        <v>42</v>
      </c>
      <c r="H21" s="23">
        <v>36</v>
      </c>
      <c r="I21" s="23">
        <v>30</v>
      </c>
      <c r="J21" s="16" t="s">
        <v>29</v>
      </c>
    </row>
    <row r="22" spans="1:10" ht="17" thickBot="1" x14ac:dyDescent="0.25">
      <c r="A22" s="15"/>
      <c r="B22" s="6" t="s">
        <v>15</v>
      </c>
      <c r="C22" s="6" t="s">
        <v>14</v>
      </c>
      <c r="D22" s="6">
        <v>101</v>
      </c>
      <c r="E22" s="6">
        <v>84</v>
      </c>
      <c r="F22" s="6">
        <v>70</v>
      </c>
      <c r="G22" s="6">
        <v>53</v>
      </c>
      <c r="H22" s="6">
        <v>36</v>
      </c>
      <c r="I22" s="6">
        <v>30</v>
      </c>
      <c r="J22" s="17"/>
    </row>
    <row r="23" spans="1:10" ht="17" thickTop="1" x14ac:dyDescent="0.2">
      <c r="A23" s="19"/>
      <c r="B23" s="1" t="s">
        <v>16</v>
      </c>
      <c r="C23" s="1" t="s">
        <v>17</v>
      </c>
      <c r="D23" s="21">
        <f xml:space="preserve"> (D21-D22) / D21</f>
        <v>-0.27848101265822783</v>
      </c>
      <c r="E23" s="21">
        <f t="shared" ref="E23" si="16" xml:space="preserve"> (E21-E22) / E21</f>
        <v>-0.5</v>
      </c>
      <c r="F23" s="21">
        <f t="shared" ref="F23" si="17" xml:space="preserve"> (F21-F22) / F21</f>
        <v>-0.62790697674418605</v>
      </c>
      <c r="G23" s="21">
        <f t="shared" ref="G23" si="18" xml:space="preserve"> (G21-G22) / G21</f>
        <v>-0.26190476190476192</v>
      </c>
      <c r="H23" s="21">
        <f t="shared" ref="H23" si="19" xml:space="preserve"> (H21-H22) / H21</f>
        <v>0</v>
      </c>
      <c r="I23" s="21">
        <f t="shared" ref="I23" si="20" xml:space="preserve"> (I21-I22) / I21</f>
        <v>0</v>
      </c>
      <c r="J23" s="18"/>
    </row>
    <row r="24" spans="1:10" x14ac:dyDescent="0.2">
      <c r="A24" s="4" t="s">
        <v>22</v>
      </c>
      <c r="B24" s="4"/>
      <c r="C24" s="4"/>
      <c r="D24" s="4"/>
      <c r="E24" s="4"/>
      <c r="F24" s="4"/>
      <c r="G24" s="4"/>
      <c r="H24" s="4"/>
      <c r="I24" s="4"/>
      <c r="J24" s="5"/>
    </row>
    <row r="25" spans="1:10" x14ac:dyDescent="0.2">
      <c r="A25" s="14"/>
      <c r="B25" s="1" t="s">
        <v>13</v>
      </c>
      <c r="C25" s="1" t="s">
        <v>14</v>
      </c>
      <c r="D25" s="22">
        <v>282</v>
      </c>
      <c r="E25" s="23">
        <v>248</v>
      </c>
      <c r="F25" s="23">
        <v>200</v>
      </c>
      <c r="G25" s="23">
        <v>188</v>
      </c>
      <c r="H25" s="23">
        <v>168</v>
      </c>
      <c r="I25" s="23">
        <v>156</v>
      </c>
      <c r="J25" s="16" t="s">
        <v>30</v>
      </c>
    </row>
    <row r="26" spans="1:10" ht="17" thickBot="1" x14ac:dyDescent="0.25">
      <c r="A26" s="15"/>
      <c r="B26" s="6" t="s">
        <v>15</v>
      </c>
      <c r="C26" s="6" t="s">
        <v>14</v>
      </c>
      <c r="D26" s="6">
        <v>330</v>
      </c>
      <c r="E26" s="6">
        <v>300</v>
      </c>
      <c r="F26" s="6">
        <v>274</v>
      </c>
      <c r="G26" s="6">
        <v>235</v>
      </c>
      <c r="H26" s="6">
        <v>210</v>
      </c>
      <c r="I26" s="6">
        <v>188</v>
      </c>
      <c r="J26" s="17"/>
    </row>
    <row r="27" spans="1:10" ht="17" thickTop="1" x14ac:dyDescent="0.2">
      <c r="A27" s="19"/>
      <c r="B27" s="1" t="s">
        <v>16</v>
      </c>
      <c r="C27" s="1" t="s">
        <v>17</v>
      </c>
      <c r="D27" s="21">
        <f xml:space="preserve"> (D25-D26) / D25</f>
        <v>-0.1702127659574468</v>
      </c>
      <c r="E27" s="21">
        <f t="shared" ref="E27" si="21" xml:space="preserve"> (E25-E26) / E25</f>
        <v>-0.20967741935483872</v>
      </c>
      <c r="F27" s="21">
        <f t="shared" ref="F27" si="22" xml:space="preserve"> (F25-F26) / F25</f>
        <v>-0.37</v>
      </c>
      <c r="G27" s="21">
        <f t="shared" ref="G27" si="23" xml:space="preserve"> (G25-G26) / G25</f>
        <v>-0.25</v>
      </c>
      <c r="H27" s="21">
        <f t="shared" ref="H27" si="24" xml:space="preserve"> (H25-H26) / H25</f>
        <v>-0.25</v>
      </c>
      <c r="I27" s="21">
        <f t="shared" ref="I27" si="25" xml:space="preserve"> (I25-I26) / I25</f>
        <v>-0.20512820512820512</v>
      </c>
      <c r="J27" s="18"/>
    </row>
    <row r="28" spans="1:10" x14ac:dyDescent="0.2">
      <c r="A28" s="4" t="s">
        <v>23</v>
      </c>
      <c r="B28" s="4"/>
      <c r="C28" s="4"/>
      <c r="D28" s="4"/>
      <c r="E28" s="4"/>
      <c r="F28" s="4"/>
      <c r="G28" s="4"/>
      <c r="H28" s="4"/>
      <c r="I28" s="4"/>
      <c r="J28" s="5"/>
    </row>
    <row r="29" spans="1:10" x14ac:dyDescent="0.2">
      <c r="A29" s="14"/>
      <c r="B29" s="1" t="s">
        <v>13</v>
      </c>
      <c r="C29" s="1" t="s">
        <v>14</v>
      </c>
      <c r="D29" s="1">
        <v>115</v>
      </c>
      <c r="E29" s="1">
        <v>90</v>
      </c>
      <c r="F29" s="1">
        <v>73</v>
      </c>
      <c r="G29" s="1">
        <v>68</v>
      </c>
      <c r="H29" s="1">
        <v>60</v>
      </c>
      <c r="I29" s="1">
        <v>46</v>
      </c>
      <c r="J29" s="16" t="s">
        <v>31</v>
      </c>
    </row>
    <row r="30" spans="1:10" ht="17" thickBot="1" x14ac:dyDescent="0.25">
      <c r="A30" s="15"/>
      <c r="B30" s="6" t="s">
        <v>15</v>
      </c>
      <c r="C30" s="6" t="s">
        <v>14</v>
      </c>
      <c r="D30" s="6">
        <v>161</v>
      </c>
      <c r="E30" s="6">
        <v>127</v>
      </c>
      <c r="F30" s="6">
        <v>107</v>
      </c>
      <c r="G30" s="6">
        <v>98</v>
      </c>
      <c r="H30" s="6">
        <v>71</v>
      </c>
      <c r="I30" s="6">
        <v>57</v>
      </c>
      <c r="J30" s="17"/>
    </row>
    <row r="31" spans="1:10" ht="17" thickTop="1" x14ac:dyDescent="0.2">
      <c r="A31" s="19"/>
      <c r="B31" s="1" t="s">
        <v>16</v>
      </c>
      <c r="C31" s="1" t="s">
        <v>17</v>
      </c>
      <c r="D31" s="21">
        <f xml:space="preserve"> (D29-D30) / D29</f>
        <v>-0.4</v>
      </c>
      <c r="E31" s="21">
        <f t="shared" ref="E31" si="26" xml:space="preserve"> (E29-E30) / E29</f>
        <v>-0.41111111111111109</v>
      </c>
      <c r="F31" s="21">
        <f t="shared" ref="F31" si="27" xml:space="preserve"> (F29-F30) / F29</f>
        <v>-0.46575342465753422</v>
      </c>
      <c r="G31" s="21">
        <f t="shared" ref="G31" si="28" xml:space="preserve"> (G29-G30) / G29</f>
        <v>-0.44117647058823528</v>
      </c>
      <c r="H31" s="21">
        <f t="shared" ref="H31" si="29" xml:space="preserve"> (H29-H30) / H29</f>
        <v>-0.18333333333333332</v>
      </c>
      <c r="I31" s="21">
        <f t="shared" ref="I31" si="30" xml:space="preserve"> (I29-I30) / I29</f>
        <v>-0.2391304347826087</v>
      </c>
      <c r="J31" s="18"/>
    </row>
    <row r="32" spans="1:10" x14ac:dyDescent="0.2">
      <c r="A32" s="4" t="s">
        <v>24</v>
      </c>
      <c r="B32" s="4"/>
      <c r="C32" s="4"/>
      <c r="D32" s="4"/>
      <c r="E32" s="4"/>
      <c r="F32" s="4"/>
      <c r="G32" s="4"/>
      <c r="H32" s="4"/>
      <c r="I32" s="4"/>
      <c r="J32" s="5"/>
    </row>
    <row r="33" spans="1:10" x14ac:dyDescent="0.2">
      <c r="A33" s="14"/>
      <c r="B33" s="1" t="s">
        <v>13</v>
      </c>
      <c r="C33" s="1" t="s">
        <v>14</v>
      </c>
      <c r="D33" s="1">
        <v>154</v>
      </c>
      <c r="E33" s="1">
        <v>112</v>
      </c>
      <c r="F33" s="1">
        <v>91</v>
      </c>
      <c r="G33" s="1">
        <v>73</v>
      </c>
      <c r="H33" s="1">
        <v>60</v>
      </c>
      <c r="I33" s="1">
        <v>49</v>
      </c>
      <c r="J33" s="16" t="s">
        <v>36</v>
      </c>
    </row>
    <row r="34" spans="1:10" ht="17" thickBot="1" x14ac:dyDescent="0.25">
      <c r="A34" s="15"/>
      <c r="B34" s="6" t="s">
        <v>15</v>
      </c>
      <c r="C34" s="6" t="s">
        <v>14</v>
      </c>
      <c r="D34" s="6">
        <v>173</v>
      </c>
      <c r="E34" s="6">
        <v>164</v>
      </c>
      <c r="F34" s="6">
        <v>125</v>
      </c>
      <c r="G34" s="6">
        <v>98</v>
      </c>
      <c r="H34" s="6">
        <v>72</v>
      </c>
      <c r="I34" s="6">
        <v>55</v>
      </c>
      <c r="J34" s="17"/>
    </row>
    <row r="35" spans="1:10" ht="17" thickTop="1" x14ac:dyDescent="0.2">
      <c r="A35" s="15"/>
      <c r="B35" s="1" t="s">
        <v>16</v>
      </c>
      <c r="C35" s="1" t="s">
        <v>17</v>
      </c>
      <c r="D35" s="21">
        <f xml:space="preserve"> (D33-D34) / D33</f>
        <v>-0.12337662337662338</v>
      </c>
      <c r="E35" s="21">
        <f t="shared" ref="E35" si="31" xml:space="preserve"> (E33-E34) / E33</f>
        <v>-0.4642857142857143</v>
      </c>
      <c r="F35" s="21">
        <f t="shared" ref="F35" si="32" xml:space="preserve"> (F33-F34) / F33</f>
        <v>-0.37362637362637363</v>
      </c>
      <c r="G35" s="21">
        <f t="shared" ref="G35" si="33" xml:space="preserve"> (G33-G34) / G33</f>
        <v>-0.34246575342465752</v>
      </c>
      <c r="H35" s="21">
        <f t="shared" ref="H35" si="34" xml:space="preserve"> (H33-H34) / H33</f>
        <v>-0.2</v>
      </c>
      <c r="I35" s="21">
        <f t="shared" ref="I35" si="35" xml:space="preserve"> (I33-I34) / I33</f>
        <v>-0.12244897959183673</v>
      </c>
      <c r="J35" s="18"/>
    </row>
  </sheetData>
  <mergeCells count="22">
    <mergeCell ref="A33:A35"/>
    <mergeCell ref="J29:J31"/>
    <mergeCell ref="J33:J35"/>
    <mergeCell ref="A5:A7"/>
    <mergeCell ref="A9:A11"/>
    <mergeCell ref="A13:A15"/>
    <mergeCell ref="A17:A19"/>
    <mergeCell ref="A21:A23"/>
    <mergeCell ref="A25:A27"/>
    <mergeCell ref="A29:A31"/>
    <mergeCell ref="J5:J7"/>
    <mergeCell ref="J9:J11"/>
    <mergeCell ref="J13:J15"/>
    <mergeCell ref="J17:J19"/>
    <mergeCell ref="J21:J23"/>
    <mergeCell ref="J25:J27"/>
    <mergeCell ref="A1:J1"/>
    <mergeCell ref="A2:A3"/>
    <mergeCell ref="B2:B3"/>
    <mergeCell ref="C2:C3"/>
    <mergeCell ref="J2:J3"/>
    <mergeCell ref="D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18" sqref="B18"/>
    </sheetView>
  </sheetViews>
  <sheetFormatPr baseColWidth="10" defaultRowHeight="16" x14ac:dyDescent="0.2"/>
  <cols>
    <col min="1" max="3" width="16.33203125" style="7" customWidth="1"/>
    <col min="4" max="16384" width="10.83203125" style="7"/>
  </cols>
  <sheetData>
    <row r="1" spans="1:3" ht="24" customHeight="1" x14ac:dyDescent="0.2">
      <c r="A1" s="24" t="s">
        <v>32</v>
      </c>
      <c r="B1" s="24"/>
      <c r="C1" s="24"/>
    </row>
    <row r="2" spans="1:3" x14ac:dyDescent="0.2">
      <c r="A2" s="20" t="s">
        <v>33</v>
      </c>
      <c r="B2" s="20" t="s">
        <v>34</v>
      </c>
      <c r="C2" s="20"/>
    </row>
    <row r="3" spans="1:3" x14ac:dyDescent="0.2">
      <c r="A3" s="20"/>
      <c r="B3" s="9" t="s">
        <v>13</v>
      </c>
      <c r="C3" s="9" t="s">
        <v>35</v>
      </c>
    </row>
    <row r="4" spans="1:3" x14ac:dyDescent="0.2">
      <c r="A4" s="9">
        <v>1000</v>
      </c>
      <c r="B4" s="8">
        <v>4.5040000000000002E-3</v>
      </c>
      <c r="C4" s="8">
        <v>9.0150999999999995E-2</v>
      </c>
    </row>
    <row r="5" spans="1:3" x14ac:dyDescent="0.2">
      <c r="A5" s="9">
        <v>2000</v>
      </c>
      <c r="B5" s="8">
        <v>4.2420000000000001E-3</v>
      </c>
      <c r="C5" s="8">
        <v>0.15863099999999999</v>
      </c>
    </row>
    <row r="6" spans="1:3" x14ac:dyDescent="0.2">
      <c r="A6" s="9">
        <v>4000</v>
      </c>
      <c r="B6" s="8">
        <v>6.0109999999999999E-3</v>
      </c>
      <c r="C6" s="8">
        <v>0.29942200000000002</v>
      </c>
    </row>
    <row r="7" spans="1:3" x14ac:dyDescent="0.2">
      <c r="A7" s="9">
        <v>8000</v>
      </c>
      <c r="B7" s="8">
        <v>9.9509999999999998E-3</v>
      </c>
      <c r="C7" s="8">
        <v>0.59856900000000002</v>
      </c>
    </row>
    <row r="8" spans="1:3" x14ac:dyDescent="0.2">
      <c r="A8" s="9">
        <v>16000</v>
      </c>
      <c r="B8" s="8">
        <v>1.7573999999999999E-2</v>
      </c>
      <c r="C8" s="8">
        <v>1.20773</v>
      </c>
    </row>
    <row r="9" spans="1:3" x14ac:dyDescent="0.2">
      <c r="A9" s="9">
        <v>32000</v>
      </c>
      <c r="B9" s="8">
        <v>3.2350999999999998E-2</v>
      </c>
      <c r="C9" s="8">
        <v>2.5847470000000001</v>
      </c>
    </row>
    <row r="10" spans="1:3" x14ac:dyDescent="0.2">
      <c r="A10" s="9">
        <v>64000</v>
      </c>
      <c r="B10" s="8">
        <v>6.2378000000000003E-2</v>
      </c>
      <c r="C10" s="8">
        <v>5.3158510000000003</v>
      </c>
    </row>
    <row r="11" spans="1:3" x14ac:dyDescent="0.2">
      <c r="A11" s="9">
        <v>128000</v>
      </c>
      <c r="B11" s="8">
        <v>0.122795</v>
      </c>
      <c r="C11" s="8">
        <v>10.648975999999999</v>
      </c>
    </row>
  </sheetData>
  <mergeCells count="3">
    <mergeCell ref="A1:C1"/>
    <mergeCell ref="A2:A3"/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Nguyen</dc:creator>
  <cp:lastModifiedBy>Vi Nguyen</cp:lastModifiedBy>
  <dcterms:created xsi:type="dcterms:W3CDTF">2017-09-23T17:31:54Z</dcterms:created>
  <dcterms:modified xsi:type="dcterms:W3CDTF">2017-09-26T16:53:49Z</dcterms:modified>
</cp:coreProperties>
</file>